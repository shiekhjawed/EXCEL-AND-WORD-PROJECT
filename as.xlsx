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FA0AC128-96B0-4776-A23B-330E6169D7DD}" xr6:coauthVersionLast="47" xr6:coauthVersionMax="47" xr10:uidLastSave="{00000000-0000-0000-0000-000000000000}"/>
  <bookViews>
    <workbookView xWindow="-120" yWindow="-120" windowWidth="29040" windowHeight="15840" xr2:uid="{036D2EE7-8793-4594-8FFF-60DC4C5C3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3" i="1" l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S37" i="1"/>
  <c r="R37" i="1"/>
  <c r="R38" i="1"/>
  <c r="R41" i="1"/>
  <c r="R42" i="1"/>
  <c r="R46" i="1"/>
  <c r="O33" i="1"/>
  <c r="R33" i="1" s="1"/>
  <c r="S33" i="1" s="1"/>
  <c r="O34" i="1"/>
  <c r="R34" i="1" s="1"/>
  <c r="O35" i="1"/>
  <c r="R35" i="1" s="1"/>
  <c r="O36" i="1"/>
  <c r="R36" i="1" s="1"/>
  <c r="O37" i="1"/>
  <c r="O38" i="1"/>
  <c r="O39" i="1"/>
  <c r="R39" i="1" s="1"/>
  <c r="O40" i="1"/>
  <c r="R40" i="1" s="1"/>
  <c r="O41" i="1"/>
  <c r="O42" i="1"/>
  <c r="O43" i="1"/>
  <c r="R43" i="1" s="1"/>
  <c r="O44" i="1"/>
  <c r="R44" i="1" s="1"/>
  <c r="O45" i="1"/>
  <c r="R45" i="1" s="1"/>
  <c r="O46" i="1"/>
  <c r="O32" i="1"/>
  <c r="R32" i="1" s="1"/>
  <c r="S34" i="1" l="1"/>
  <c r="T44" i="1"/>
  <c r="T39" i="1"/>
  <c r="T41" i="1"/>
  <c r="T32" i="1"/>
  <c r="Q32" i="1"/>
  <c r="T43" i="1"/>
  <c r="T35" i="1"/>
  <c r="T45" i="1"/>
  <c r="T33" i="1"/>
  <c r="T40" i="1"/>
  <c r="T36" i="1"/>
  <c r="T37" i="1"/>
  <c r="T46" i="1"/>
  <c r="T42" i="1"/>
  <c r="T38" i="1"/>
  <c r="T34" i="1"/>
</calcChain>
</file>

<file path=xl/sharedStrings.xml><?xml version="1.0" encoding="utf-8"?>
<sst xmlns="http://schemas.openxmlformats.org/spreadsheetml/2006/main" count="52" uniqueCount="44">
  <si>
    <t>s</t>
  </si>
  <si>
    <t>Bright Star Academy</t>
  </si>
  <si>
    <t>STATESMENT OF MARKS</t>
  </si>
  <si>
    <t xml:space="preserve"> S.S.C  EXAMINATION</t>
  </si>
  <si>
    <t>EXAMINATION: ANNUAL 2025</t>
  </si>
  <si>
    <t>S.NO</t>
  </si>
  <si>
    <t>ROLL NO</t>
  </si>
  <si>
    <t>URDU</t>
  </si>
  <si>
    <t>ISLAMIAT</t>
  </si>
  <si>
    <t>NAME</t>
  </si>
  <si>
    <t>Dua</t>
  </si>
  <si>
    <t>warda</t>
  </si>
  <si>
    <t>salaar</t>
  </si>
  <si>
    <t>Areej</t>
  </si>
  <si>
    <t>Azaan</t>
  </si>
  <si>
    <t>Ayaan</t>
  </si>
  <si>
    <t>Laiba</t>
  </si>
  <si>
    <t>Zainab</t>
  </si>
  <si>
    <t>Aliyaan</t>
  </si>
  <si>
    <t>ziyan</t>
  </si>
  <si>
    <t>Hareem</t>
  </si>
  <si>
    <t>Ashar</t>
  </si>
  <si>
    <t>Ayera</t>
  </si>
  <si>
    <t>Abu bakr</t>
  </si>
  <si>
    <t>Arshmaan</t>
  </si>
  <si>
    <t>PAKISTAN STUDIES</t>
  </si>
  <si>
    <t>BIOLOGY</t>
  </si>
  <si>
    <t>CHEMISTRY</t>
  </si>
  <si>
    <t>MATHEMATICS</t>
  </si>
  <si>
    <t>PHYSICS</t>
  </si>
  <si>
    <t>Sindhi</t>
  </si>
  <si>
    <t>English I</t>
  </si>
  <si>
    <t>Marks Obtained</t>
  </si>
  <si>
    <t>Total Marks</t>
  </si>
  <si>
    <t>Perentage%</t>
  </si>
  <si>
    <t>pass/fail</t>
  </si>
  <si>
    <t>Rank</t>
  </si>
  <si>
    <t>Grade</t>
  </si>
  <si>
    <t>r</t>
  </si>
  <si>
    <t>A</t>
  </si>
  <si>
    <t>B</t>
  </si>
  <si>
    <t>C</t>
  </si>
  <si>
    <t>A+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</si>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</sst>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48"/>
      <color theme="1"/>
      <name val="Algerian"/>
      <family val="5"/>
    </font>
    <font>
      <b/>
      <i/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9" fontId="0" fillId="0" borderId="1" xfId="1" applyFont="1" applyBorder="1"/>
    <xf numFmtId="0" fontId="0" fillId="0" borderId="3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4</xdr:row>
      <xdr:rowOff>171450</xdr:rowOff>
    </xdr:from>
    <xdr:to>
      <xdr:col>6</xdr:col>
      <xdr:colOff>257175</xdr:colOff>
      <xdr:row>7</xdr:row>
      <xdr:rowOff>152400</xdr:rowOff>
    </xdr:to>
    <xdr:sp macro="" textlink="">
      <xdr:nvSpPr>
        <xdr:cNvPr id="2" name="Half Frame 1">
          <a:extLst>
            <a:ext uri="{FF2B5EF4-FFF2-40B4-BE49-F238E27FC236}">
              <a16:creationId xmlns:a16="http://schemas.microsoft.com/office/drawing/2014/main" id="{CBECB2A7-9825-35F1-67FF-CA01B569BF14}"/>
            </a:ext>
          </a:extLst>
        </xdr:cNvPr>
        <xdr:cNvSpPr/>
      </xdr:nvSpPr>
      <xdr:spPr>
        <a:xfrm>
          <a:off x="3267075" y="933450"/>
          <a:ext cx="647700" cy="552450"/>
        </a:xfrm>
        <a:prstGeom prst="halfFram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114300</xdr:rowOff>
    </xdr:to>
    <xdr:sp macro="" textlink="">
      <xdr:nvSpPr>
        <xdr:cNvPr id="1025" name="AutoShape 1" descr="BRIGHT STAR">
          <a:extLst>
            <a:ext uri="{FF2B5EF4-FFF2-40B4-BE49-F238E27FC236}">
              <a16:creationId xmlns:a16="http://schemas.microsoft.com/office/drawing/2014/main" id="{2CF27B59-043B-693F-5111-3594765554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190499</xdr:colOff>
      <xdr:row>14</xdr:row>
      <xdr:rowOff>66675</xdr:rowOff>
    </xdr:from>
    <xdr:to>
      <xdr:col>14</xdr:col>
      <xdr:colOff>419099</xdr:colOff>
      <xdr:row>20</xdr:row>
      <xdr:rowOff>0</xdr:rowOff>
    </xdr:to>
    <xdr:pic>
      <xdr:nvPicPr>
        <xdr:cNvPr id="5" name="Picture 4" descr="Bright Star Academy">
          <a:extLst>
            <a:ext uri="{FF2B5EF4-FFF2-40B4-BE49-F238E27FC236}">
              <a16:creationId xmlns:a16="http://schemas.microsoft.com/office/drawing/2014/main" id="{FA4E3A88-5AAA-C1B9-C7FC-E8C1E1457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9" y="2733675"/>
          <a:ext cx="2771775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A832-2BE4-424C-B60A-4EF4C4E24EE3}">
  <dimension ref="C4:V46"/>
  <sheetViews>
    <sheetView tabSelected="1" topLeftCell="A14" workbookViewId="0">
      <selection activeCell="W37" sqref="W37"/>
    </sheetView>
  </sheetViews>
  <sheetFormatPr defaultRowHeight="15" x14ac:dyDescent="0.25"/>
  <cols>
    <col min="3" max="3" width="5.42578125" bestFit="1" customWidth="1"/>
    <col min="4" max="4" width="9.85546875" bestFit="1" customWidth="1"/>
    <col min="5" max="5" width="8.5703125" bestFit="1" customWidth="1"/>
    <col min="6" max="6" width="6" bestFit="1" customWidth="1"/>
    <col min="7" max="7" width="8.28515625" bestFit="1" customWidth="1"/>
    <col min="8" max="8" width="17.7109375" bestFit="1" customWidth="1"/>
    <col min="9" max="9" width="8.7109375" bestFit="1" customWidth="1"/>
    <col min="10" max="10" width="10.85546875" bestFit="1" customWidth="1"/>
    <col min="11" max="11" width="9.28515625" bestFit="1" customWidth="1"/>
    <col min="12" max="12" width="14.140625" bestFit="1" customWidth="1"/>
    <col min="13" max="13" width="8.140625" bestFit="1" customWidth="1"/>
    <col min="14" max="14" width="6.5703125" bestFit="1" customWidth="1"/>
    <col min="15" max="15" width="15.140625" bestFit="1" customWidth="1"/>
    <col min="16" max="16" width="11.140625" bestFit="1" customWidth="1"/>
    <col min="17" max="17" width="8.5703125" bestFit="1" customWidth="1"/>
    <col min="18" max="18" width="11.7109375" bestFit="1" customWidth="1"/>
    <col min="19" max="19" width="7.140625" customWidth="1"/>
    <col min="20" max="20" width="5.28515625" bestFit="1" customWidth="1"/>
  </cols>
  <sheetData>
    <row r="4" spans="5:22" x14ac:dyDescent="0.25">
      <c r="E4" s="5" t="s">
        <v>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5:22" x14ac:dyDescent="0.25"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5:22" x14ac:dyDescent="0.25"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5:22" x14ac:dyDescent="0.25"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5:22" x14ac:dyDescent="0.25"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5:22" x14ac:dyDescent="0.25"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5:22" x14ac:dyDescent="0.25"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5:22" x14ac:dyDescent="0.25"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5:22" x14ac:dyDescent="0.25"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5:22" x14ac:dyDescent="0.25"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5:22" x14ac:dyDescent="0.25"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8" spans="3:20" x14ac:dyDescent="0.25">
      <c r="C18" t="s">
        <v>0</v>
      </c>
    </row>
    <row r="22" spans="3:20" x14ac:dyDescent="0.25">
      <c r="J22" s="1"/>
      <c r="K22" s="1"/>
      <c r="L22" s="6" t="s">
        <v>2</v>
      </c>
      <c r="M22" s="6"/>
      <c r="N22" s="6"/>
    </row>
    <row r="23" spans="3:20" ht="15.75" x14ac:dyDescent="0.25">
      <c r="L23" s="7" t="s">
        <v>3</v>
      </c>
      <c r="M23" s="8"/>
      <c r="N23" s="8"/>
    </row>
    <row r="25" spans="3:20" x14ac:dyDescent="0.25">
      <c r="D25" s="9" t="s">
        <v>4</v>
      </c>
      <c r="E25" s="6"/>
      <c r="F25" s="6"/>
      <c r="G25" s="6"/>
    </row>
    <row r="26" spans="3:20" x14ac:dyDescent="0.25">
      <c r="D26" s="6"/>
      <c r="E26" s="6"/>
      <c r="F26" s="6"/>
      <c r="G26" s="6"/>
    </row>
    <row r="30" spans="3:20" x14ac:dyDescent="0.25">
      <c r="C30" s="2"/>
      <c r="D30" s="2"/>
      <c r="E30" s="2"/>
      <c r="F30" s="10" t="s">
        <v>43</v>
      </c>
      <c r="G30" s="10"/>
      <c r="H30" s="10"/>
      <c r="I30" s="10"/>
      <c r="J30" s="10"/>
      <c r="K30" s="10"/>
      <c r="L30" s="10"/>
      <c r="M30" s="10"/>
      <c r="N30" s="10"/>
    </row>
    <row r="31" spans="3:20" x14ac:dyDescent="0.25">
      <c r="C31" s="2" t="s">
        <v>5</v>
      </c>
      <c r="D31" s="2" t="s">
        <v>9</v>
      </c>
      <c r="E31" s="2" t="s">
        <v>6</v>
      </c>
      <c r="F31" s="4" t="s">
        <v>7</v>
      </c>
      <c r="G31" s="2" t="s">
        <v>31</v>
      </c>
      <c r="H31" s="2" t="s">
        <v>25</v>
      </c>
      <c r="I31" s="2" t="s">
        <v>26</v>
      </c>
      <c r="J31" s="2" t="s">
        <v>27</v>
      </c>
      <c r="K31" s="2" t="s">
        <v>8</v>
      </c>
      <c r="L31" s="2" t="s">
        <v>28</v>
      </c>
      <c r="M31" s="2" t="s">
        <v>29</v>
      </c>
      <c r="N31" s="2" t="s">
        <v>30</v>
      </c>
      <c r="O31" s="2" t="s">
        <v>32</v>
      </c>
      <c r="P31" s="2" t="s">
        <v>33</v>
      </c>
      <c r="Q31" s="2" t="s">
        <v>35</v>
      </c>
      <c r="R31" s="2" t="s">
        <v>34</v>
      </c>
      <c r="S31" s="2" t="s">
        <v>37</v>
      </c>
      <c r="T31" s="2" t="s">
        <v>36</v>
      </c>
    </row>
    <row r="32" spans="3:20" x14ac:dyDescent="0.25">
      <c r="C32" s="2">
        <v>1</v>
      </c>
      <c r="D32" s="2" t="s">
        <v>21</v>
      </c>
      <c r="E32" s="2">
        <v>10023</v>
      </c>
      <c r="F32" s="2">
        <v>67</v>
      </c>
      <c r="G32" s="2">
        <v>70</v>
      </c>
      <c r="H32" s="2">
        <v>70</v>
      </c>
      <c r="I32" s="2">
        <v>77</v>
      </c>
      <c r="J32" s="2">
        <v>89</v>
      </c>
      <c r="K32" s="2">
        <v>70</v>
      </c>
      <c r="L32" s="2">
        <v>85</v>
      </c>
      <c r="M32" s="2">
        <v>70</v>
      </c>
      <c r="N32" s="2">
        <v>68</v>
      </c>
      <c r="O32" s="2">
        <f>SUM(F32:N32)</f>
        <v>666</v>
      </c>
      <c r="P32" s="2">
        <v>900</v>
      </c>
      <c r="Q32" s="2" t="str">
        <f>IF(R32&gt;33%,"PASS","FAIL")</f>
        <v>PASS</v>
      </c>
      <c r="R32" s="3">
        <f>O32/P32</f>
        <v>0.74</v>
      </c>
      <c r="S32" s="2" t="s">
        <v>39</v>
      </c>
      <c r="T32" s="2">
        <f>RANK(R32,$R$32:$R$46)</f>
        <v>5</v>
      </c>
    </row>
    <row r="33" spans="3:22" x14ac:dyDescent="0.25">
      <c r="C33" s="2">
        <v>2</v>
      </c>
      <c r="D33" s="2" t="s">
        <v>10</v>
      </c>
      <c r="E33" s="2">
        <v>10024</v>
      </c>
      <c r="F33" s="2">
        <v>33</v>
      </c>
      <c r="G33" s="2">
        <v>29</v>
      </c>
      <c r="H33" s="2">
        <v>32</v>
      </c>
      <c r="I33" s="2">
        <v>33</v>
      </c>
      <c r="J33" s="2">
        <v>30</v>
      </c>
      <c r="K33" s="2">
        <v>40</v>
      </c>
      <c r="L33" s="2">
        <v>32</v>
      </c>
      <c r="M33" s="2">
        <v>29</v>
      </c>
      <c r="N33" s="2">
        <v>30</v>
      </c>
      <c r="O33" s="2">
        <f t="shared" ref="O33:O46" si="0">SUM(F33:N33)</f>
        <v>288</v>
      </c>
      <c r="P33" s="2">
        <v>900</v>
      </c>
      <c r="Q33" s="2" t="str">
        <f t="shared" ref="Q33:Q46" si="1">IF(R33&gt;33%,"PASS","FAIL")</f>
        <v>FAIL</v>
      </c>
      <c r="R33" s="3">
        <f t="shared" ref="R33:R46" si="2">O33/P33</f>
        <v>0.32</v>
      </c>
      <c r="S33" s="2" t="str">
        <f>IF(R33&lt;=35%,"FAIL")</f>
        <v>FAIL</v>
      </c>
      <c r="T33" s="2">
        <f t="shared" ref="T33:T46" si="3">RANK(R33,$R$32:$R$46)</f>
        <v>15</v>
      </c>
    </row>
    <row r="34" spans="3:22" x14ac:dyDescent="0.25">
      <c r="C34" s="2">
        <v>3</v>
      </c>
      <c r="D34" s="2" t="s">
        <v>11</v>
      </c>
      <c r="E34" s="2">
        <v>10025</v>
      </c>
      <c r="F34" s="2">
        <v>33</v>
      </c>
      <c r="G34" s="2">
        <v>55</v>
      </c>
      <c r="H34" s="2">
        <v>32</v>
      </c>
      <c r="I34" s="2">
        <v>30</v>
      </c>
      <c r="J34" s="2">
        <v>29</v>
      </c>
      <c r="K34" s="2">
        <v>55</v>
      </c>
      <c r="L34" s="2">
        <v>50</v>
      </c>
      <c r="M34" s="2">
        <v>32</v>
      </c>
      <c r="N34" s="2">
        <v>40</v>
      </c>
      <c r="O34" s="2">
        <f t="shared" si="0"/>
        <v>356</v>
      </c>
      <c r="P34" s="2">
        <v>900</v>
      </c>
      <c r="Q34" s="2" t="str">
        <f t="shared" si="1"/>
        <v>PASS</v>
      </c>
      <c r="R34" s="3">
        <f t="shared" si="2"/>
        <v>0.39555555555555555</v>
      </c>
      <c r="S34" s="2" t="str">
        <f>IF(R34&lt;=40%,"D")</f>
        <v>D</v>
      </c>
      <c r="T34" s="2">
        <f t="shared" si="3"/>
        <v>14</v>
      </c>
    </row>
    <row r="35" spans="3:22" x14ac:dyDescent="0.25">
      <c r="C35" s="2">
        <v>4</v>
      </c>
      <c r="D35" s="2" t="s">
        <v>22</v>
      </c>
      <c r="E35" s="2">
        <v>10026</v>
      </c>
      <c r="F35" s="2">
        <v>79</v>
      </c>
      <c r="G35" s="2">
        <v>89</v>
      </c>
      <c r="H35" s="2">
        <v>80</v>
      </c>
      <c r="I35" s="2">
        <v>95</v>
      </c>
      <c r="J35" s="2">
        <v>95</v>
      </c>
      <c r="K35" s="2">
        <v>68</v>
      </c>
      <c r="L35" s="2">
        <v>80</v>
      </c>
      <c r="M35" s="2">
        <v>84</v>
      </c>
      <c r="N35" s="2">
        <v>55</v>
      </c>
      <c r="O35" s="2">
        <f t="shared" si="0"/>
        <v>725</v>
      </c>
      <c r="P35" s="2">
        <v>900</v>
      </c>
      <c r="Q35" s="2" t="str">
        <f t="shared" si="1"/>
        <v>PASS</v>
      </c>
      <c r="R35" s="3">
        <f t="shared" si="2"/>
        <v>0.80555555555555558</v>
      </c>
      <c r="S35" s="2" t="s">
        <v>42</v>
      </c>
      <c r="T35" s="2">
        <f t="shared" si="3"/>
        <v>4</v>
      </c>
    </row>
    <row r="36" spans="3:22" x14ac:dyDescent="0.25">
      <c r="C36" s="2">
        <v>5</v>
      </c>
      <c r="D36" s="2" t="s">
        <v>12</v>
      </c>
      <c r="E36" s="2">
        <v>10027</v>
      </c>
      <c r="F36" s="2">
        <v>89</v>
      </c>
      <c r="G36" s="2">
        <v>95</v>
      </c>
      <c r="H36" s="2">
        <v>88</v>
      </c>
      <c r="I36" s="2">
        <v>95</v>
      </c>
      <c r="J36" s="2">
        <v>95</v>
      </c>
      <c r="K36" s="2">
        <v>70</v>
      </c>
      <c r="L36" s="2">
        <v>90</v>
      </c>
      <c r="M36" s="2">
        <v>92</v>
      </c>
      <c r="N36" s="2">
        <v>59</v>
      </c>
      <c r="O36" s="2">
        <f t="shared" si="0"/>
        <v>773</v>
      </c>
      <c r="P36" s="2">
        <v>900</v>
      </c>
      <c r="Q36" s="2" t="str">
        <f t="shared" si="1"/>
        <v>PASS</v>
      </c>
      <c r="R36" s="3">
        <f t="shared" si="2"/>
        <v>0.85888888888888892</v>
      </c>
      <c r="S36" s="2" t="s">
        <v>42</v>
      </c>
      <c r="T36" s="2">
        <f t="shared" si="3"/>
        <v>3</v>
      </c>
    </row>
    <row r="37" spans="3:22" x14ac:dyDescent="0.25">
      <c r="C37" s="2">
        <v>6</v>
      </c>
      <c r="D37" s="2" t="s">
        <v>13</v>
      </c>
      <c r="E37" s="2">
        <v>10028</v>
      </c>
      <c r="F37" s="2">
        <v>97</v>
      </c>
      <c r="G37" s="2">
        <v>97</v>
      </c>
      <c r="H37" s="2">
        <v>95</v>
      </c>
      <c r="I37" s="2">
        <v>99</v>
      </c>
      <c r="J37" s="2">
        <v>100</v>
      </c>
      <c r="K37" s="2">
        <v>98</v>
      </c>
      <c r="L37" s="2">
        <v>100</v>
      </c>
      <c r="M37" s="2">
        <v>99</v>
      </c>
      <c r="N37" s="2">
        <v>90</v>
      </c>
      <c r="O37" s="2">
        <f t="shared" si="0"/>
        <v>875</v>
      </c>
      <c r="P37" s="2">
        <v>900</v>
      </c>
      <c r="Q37" s="2" t="str">
        <f t="shared" si="1"/>
        <v>PASS</v>
      </c>
      <c r="R37" s="3">
        <f t="shared" si="2"/>
        <v>0.97222222222222221</v>
      </c>
      <c r="S37" s="2" t="str">
        <f t="shared" ref="S37" si="4">IF(Q37&gt;90%,"A++",IF(Q37&gt;80%,"A+",IF(Q37&gt;70%,"A",IF(Q37&gt;60%,"B",IF(Q37&gt;50%,"c",IF(Q37&gt;=40%,"Fail"))))))</f>
        <v>A++</v>
      </c>
      <c r="T37" s="2">
        <f t="shared" si="3"/>
        <v>1</v>
      </c>
    </row>
    <row r="38" spans="3:22" x14ac:dyDescent="0.25">
      <c r="C38" s="2">
        <v>7</v>
      </c>
      <c r="D38" s="2" t="s">
        <v>14</v>
      </c>
      <c r="E38" s="2">
        <v>10029</v>
      </c>
      <c r="F38" s="2">
        <v>32</v>
      </c>
      <c r="G38" s="2">
        <v>69</v>
      </c>
      <c r="H38" s="2">
        <v>50</v>
      </c>
      <c r="I38" s="2">
        <v>67</v>
      </c>
      <c r="J38" s="2">
        <v>89</v>
      </c>
      <c r="K38" s="2">
        <v>69</v>
      </c>
      <c r="L38" s="2">
        <v>57</v>
      </c>
      <c r="M38" s="2">
        <v>87</v>
      </c>
      <c r="N38" s="2">
        <v>75</v>
      </c>
      <c r="O38" s="2">
        <f t="shared" si="0"/>
        <v>595</v>
      </c>
      <c r="P38" s="2">
        <v>900</v>
      </c>
      <c r="Q38" s="2" t="str">
        <f t="shared" si="1"/>
        <v>PASS</v>
      </c>
      <c r="R38" s="3">
        <f t="shared" si="2"/>
        <v>0.66111111111111109</v>
      </c>
      <c r="S38" s="2" t="s">
        <v>40</v>
      </c>
      <c r="T38" s="2">
        <f t="shared" si="3"/>
        <v>7</v>
      </c>
    </row>
    <row r="39" spans="3:22" x14ac:dyDescent="0.25">
      <c r="C39" s="2">
        <v>8</v>
      </c>
      <c r="D39" s="2" t="s">
        <v>15</v>
      </c>
      <c r="E39" s="2">
        <v>10030</v>
      </c>
      <c r="F39" s="2">
        <v>40</v>
      </c>
      <c r="G39" s="2">
        <v>71</v>
      </c>
      <c r="H39" s="2">
        <v>32</v>
      </c>
      <c r="I39" s="2">
        <v>55</v>
      </c>
      <c r="J39" s="2">
        <v>64</v>
      </c>
      <c r="K39" s="2">
        <v>71</v>
      </c>
      <c r="L39" s="2">
        <v>60</v>
      </c>
      <c r="M39" s="2">
        <v>94</v>
      </c>
      <c r="N39" s="2">
        <v>50</v>
      </c>
      <c r="O39" s="2">
        <f t="shared" si="0"/>
        <v>537</v>
      </c>
      <c r="P39" s="2">
        <v>900</v>
      </c>
      <c r="Q39" s="2" t="str">
        <f t="shared" si="1"/>
        <v>PASS</v>
      </c>
      <c r="R39" s="3">
        <f t="shared" si="2"/>
        <v>0.59666666666666668</v>
      </c>
      <c r="S39" s="2" t="s">
        <v>40</v>
      </c>
      <c r="T39" s="2">
        <f t="shared" si="3"/>
        <v>10</v>
      </c>
    </row>
    <row r="40" spans="3:22" x14ac:dyDescent="0.25">
      <c r="C40" s="2">
        <v>9</v>
      </c>
      <c r="D40" s="2" t="s">
        <v>16</v>
      </c>
      <c r="E40" s="2">
        <v>10031</v>
      </c>
      <c r="F40" s="2">
        <v>30</v>
      </c>
      <c r="G40" s="2">
        <v>62</v>
      </c>
      <c r="H40" s="2">
        <v>40</v>
      </c>
      <c r="I40" s="2">
        <v>89</v>
      </c>
      <c r="J40" s="2">
        <v>55</v>
      </c>
      <c r="K40" s="2">
        <v>62</v>
      </c>
      <c r="L40" s="2">
        <v>76</v>
      </c>
      <c r="M40" s="2">
        <v>50</v>
      </c>
      <c r="N40" s="2">
        <v>44</v>
      </c>
      <c r="O40" s="2">
        <f t="shared" si="0"/>
        <v>508</v>
      </c>
      <c r="P40" s="2">
        <v>900</v>
      </c>
      <c r="Q40" s="2" t="str">
        <f t="shared" si="1"/>
        <v>PASS</v>
      </c>
      <c r="R40" s="3">
        <f t="shared" si="2"/>
        <v>0.56444444444444442</v>
      </c>
      <c r="S40" s="2" t="s">
        <v>41</v>
      </c>
      <c r="T40" s="2">
        <f t="shared" si="3"/>
        <v>13</v>
      </c>
      <c r="V40" t="s">
        <v>38</v>
      </c>
    </row>
    <row r="41" spans="3:22" x14ac:dyDescent="0.25">
      <c r="C41" s="2">
        <v>10</v>
      </c>
      <c r="D41" s="2" t="s">
        <v>17</v>
      </c>
      <c r="E41" s="2">
        <v>10032</v>
      </c>
      <c r="F41" s="2">
        <v>55</v>
      </c>
      <c r="G41" s="2">
        <v>59</v>
      </c>
      <c r="H41" s="2">
        <v>45</v>
      </c>
      <c r="I41" s="2">
        <v>94</v>
      </c>
      <c r="J41" s="2">
        <v>66</v>
      </c>
      <c r="K41" s="2">
        <v>59</v>
      </c>
      <c r="L41" s="2">
        <v>89</v>
      </c>
      <c r="M41" s="2">
        <v>65</v>
      </c>
      <c r="N41" s="2">
        <v>33</v>
      </c>
      <c r="O41" s="2">
        <f t="shared" si="0"/>
        <v>565</v>
      </c>
      <c r="P41" s="2">
        <v>900</v>
      </c>
      <c r="Q41" s="2" t="str">
        <f t="shared" si="1"/>
        <v>PASS</v>
      </c>
      <c r="R41" s="3">
        <f t="shared" si="2"/>
        <v>0.62777777777777777</v>
      </c>
      <c r="S41" s="2" t="s">
        <v>40</v>
      </c>
      <c r="T41" s="2">
        <f t="shared" si="3"/>
        <v>9</v>
      </c>
    </row>
    <row r="42" spans="3:22" x14ac:dyDescent="0.25">
      <c r="C42" s="2">
        <v>11</v>
      </c>
      <c r="D42" s="2" t="s">
        <v>18</v>
      </c>
      <c r="E42" s="2">
        <v>10033</v>
      </c>
      <c r="F42" s="2">
        <v>65</v>
      </c>
      <c r="G42" s="2">
        <v>45</v>
      </c>
      <c r="H42" s="2">
        <v>60</v>
      </c>
      <c r="I42" s="2">
        <v>55</v>
      </c>
      <c r="J42" s="2">
        <v>84</v>
      </c>
      <c r="K42" s="2">
        <v>45</v>
      </c>
      <c r="L42" s="2">
        <v>90</v>
      </c>
      <c r="M42" s="2">
        <v>88</v>
      </c>
      <c r="N42" s="2">
        <v>45</v>
      </c>
      <c r="O42" s="2">
        <f t="shared" si="0"/>
        <v>577</v>
      </c>
      <c r="P42" s="2">
        <v>900</v>
      </c>
      <c r="Q42" s="2" t="str">
        <f t="shared" si="1"/>
        <v>PASS</v>
      </c>
      <c r="R42" s="3">
        <f t="shared" si="2"/>
        <v>0.64111111111111108</v>
      </c>
      <c r="S42" s="2" t="s">
        <v>40</v>
      </c>
      <c r="T42" s="2">
        <f t="shared" si="3"/>
        <v>8</v>
      </c>
    </row>
    <row r="43" spans="3:22" x14ac:dyDescent="0.25">
      <c r="C43" s="2">
        <v>12</v>
      </c>
      <c r="D43" s="2" t="s">
        <v>19</v>
      </c>
      <c r="E43" s="2">
        <v>10034</v>
      </c>
      <c r="F43" s="2">
        <v>68</v>
      </c>
      <c r="G43" s="2">
        <v>40</v>
      </c>
      <c r="H43" s="2">
        <v>66</v>
      </c>
      <c r="I43" s="2">
        <v>77</v>
      </c>
      <c r="J43" s="2">
        <v>45</v>
      </c>
      <c r="K43" s="2">
        <v>40</v>
      </c>
      <c r="L43" s="2">
        <v>56</v>
      </c>
      <c r="M43" s="2">
        <v>66</v>
      </c>
      <c r="N43" s="2">
        <v>66</v>
      </c>
      <c r="O43" s="2">
        <f t="shared" si="0"/>
        <v>524</v>
      </c>
      <c r="P43" s="2">
        <v>900</v>
      </c>
      <c r="Q43" s="2" t="str">
        <f t="shared" si="1"/>
        <v>PASS</v>
      </c>
      <c r="R43" s="3">
        <f t="shared" si="2"/>
        <v>0.5822222222222222</v>
      </c>
      <c r="S43" s="2" t="s">
        <v>41</v>
      </c>
      <c r="T43" s="2">
        <f t="shared" si="3"/>
        <v>11</v>
      </c>
    </row>
    <row r="44" spans="3:22" x14ac:dyDescent="0.25">
      <c r="C44" s="2">
        <v>13</v>
      </c>
      <c r="D44" s="2" t="s">
        <v>20</v>
      </c>
      <c r="E44" s="2">
        <v>10035</v>
      </c>
      <c r="F44" s="2">
        <v>78</v>
      </c>
      <c r="G44" s="2">
        <v>55</v>
      </c>
      <c r="H44" s="2">
        <v>69</v>
      </c>
      <c r="I44" s="2">
        <v>88</v>
      </c>
      <c r="J44" s="2">
        <v>92</v>
      </c>
      <c r="K44" s="2">
        <v>55</v>
      </c>
      <c r="L44" s="2">
        <v>77</v>
      </c>
      <c r="M44" s="2">
        <v>70</v>
      </c>
      <c r="N44" s="2">
        <v>58</v>
      </c>
      <c r="O44" s="2">
        <f t="shared" si="0"/>
        <v>642</v>
      </c>
      <c r="P44" s="2">
        <v>900</v>
      </c>
      <c r="Q44" s="2" t="str">
        <f t="shared" si="1"/>
        <v>PASS</v>
      </c>
      <c r="R44" s="3">
        <f t="shared" si="2"/>
        <v>0.71333333333333337</v>
      </c>
      <c r="S44" s="2" t="s">
        <v>39</v>
      </c>
      <c r="T44" s="2">
        <f t="shared" si="3"/>
        <v>6</v>
      </c>
    </row>
    <row r="45" spans="3:22" x14ac:dyDescent="0.25">
      <c r="C45" s="2">
        <v>14</v>
      </c>
      <c r="D45" s="2" t="s">
        <v>23</v>
      </c>
      <c r="E45" s="2">
        <v>10036</v>
      </c>
      <c r="F45" s="2">
        <v>73</v>
      </c>
      <c r="G45" s="2">
        <v>90</v>
      </c>
      <c r="H45" s="2">
        <v>89</v>
      </c>
      <c r="I45" s="2">
        <v>92</v>
      </c>
      <c r="J45" s="2">
        <v>94</v>
      </c>
      <c r="K45" s="2">
        <v>89</v>
      </c>
      <c r="L45" s="2">
        <v>100</v>
      </c>
      <c r="M45" s="2">
        <v>93</v>
      </c>
      <c r="N45" s="2">
        <v>67</v>
      </c>
      <c r="O45" s="2">
        <f t="shared" si="0"/>
        <v>787</v>
      </c>
      <c r="P45" s="2">
        <v>900</v>
      </c>
      <c r="Q45" s="2" t="str">
        <f t="shared" si="1"/>
        <v>PASS</v>
      </c>
      <c r="R45" s="3">
        <f t="shared" si="2"/>
        <v>0.87444444444444447</v>
      </c>
      <c r="S45" s="2" t="s">
        <v>42</v>
      </c>
      <c r="T45" s="2">
        <f t="shared" si="3"/>
        <v>2</v>
      </c>
    </row>
    <row r="46" spans="3:22" x14ac:dyDescent="0.25">
      <c r="C46" s="2">
        <v>15</v>
      </c>
      <c r="D46" s="2" t="s">
        <v>24</v>
      </c>
      <c r="E46" s="2">
        <v>10037</v>
      </c>
      <c r="F46" s="2">
        <v>44</v>
      </c>
      <c r="G46" s="2">
        <v>60</v>
      </c>
      <c r="H46" s="2">
        <v>70</v>
      </c>
      <c r="I46" s="2">
        <v>40</v>
      </c>
      <c r="J46" s="2">
        <v>70</v>
      </c>
      <c r="K46" s="2">
        <v>60</v>
      </c>
      <c r="L46" s="2">
        <v>88</v>
      </c>
      <c r="M46" s="2">
        <v>55</v>
      </c>
      <c r="N46" s="2">
        <v>35</v>
      </c>
      <c r="O46" s="2">
        <f t="shared" si="0"/>
        <v>522</v>
      </c>
      <c r="P46" s="2">
        <v>900</v>
      </c>
      <c r="Q46" s="2" t="str">
        <f t="shared" si="1"/>
        <v>PASS</v>
      </c>
      <c r="R46" s="3">
        <f t="shared" si="2"/>
        <v>0.57999999999999996</v>
      </c>
      <c r="S46" s="2" t="s">
        <v>41</v>
      </c>
      <c r="T46" s="2">
        <f t="shared" si="3"/>
        <v>12</v>
      </c>
    </row>
  </sheetData>
  <mergeCells count="5">
    <mergeCell ref="E4:V14"/>
    <mergeCell ref="L22:N22"/>
    <mergeCell ref="L23:N23"/>
    <mergeCell ref="D25:G26"/>
    <mergeCell ref="F30:N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470 G3</dc:creator>
  <cp:lastModifiedBy>HP 470 G3</cp:lastModifiedBy>
  <dcterms:created xsi:type="dcterms:W3CDTF">2025-07-02T14:25:29Z</dcterms:created>
  <dcterms:modified xsi:type="dcterms:W3CDTF">2025-07-03T07:13:23Z</dcterms:modified>
</cp:coreProperties>
</file>