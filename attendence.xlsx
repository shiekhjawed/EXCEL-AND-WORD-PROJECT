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B4FE572A-A0F5-4D29-A3F4-E15D46D33719}" xr6:coauthVersionLast="47" xr6:coauthVersionMax="47" xr10:uidLastSave="{00000000-0000-0000-0000-000000000000}"/>
  <bookViews>
    <workbookView xWindow="-120" yWindow="-120" windowWidth="29040" windowHeight="15840" xr2:uid="{6979477C-2059-46B3-9F18-A6B35BD78CB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13" i="1" l="1"/>
  <c r="AM14" i="1"/>
  <c r="AM15" i="1"/>
  <c r="AM16" i="1"/>
  <c r="AM17" i="1"/>
  <c r="AM18" i="1"/>
  <c r="AM19" i="1"/>
  <c r="AM20" i="1"/>
  <c r="AM21" i="1"/>
  <c r="AQ13" i="1"/>
  <c r="AQ14" i="1"/>
  <c r="AQ15" i="1"/>
  <c r="AQ16" i="1"/>
  <c r="AQ17" i="1"/>
  <c r="AQ18" i="1"/>
  <c r="AQ19" i="1"/>
  <c r="AQ20" i="1"/>
  <c r="AQ21" i="1"/>
  <c r="AP13" i="1"/>
  <c r="AP14" i="1"/>
  <c r="AP15" i="1"/>
  <c r="AP16" i="1"/>
  <c r="AP17" i="1"/>
  <c r="AP18" i="1"/>
  <c r="AP19" i="1"/>
  <c r="AP20" i="1"/>
  <c r="AP21" i="1"/>
  <c r="AP12" i="1"/>
  <c r="AO13" i="1"/>
  <c r="AO14" i="1"/>
  <c r="AO15" i="1"/>
  <c r="AO16" i="1"/>
  <c r="AO17" i="1"/>
  <c r="AO18" i="1"/>
  <c r="AO19" i="1"/>
  <c r="AO20" i="1"/>
  <c r="AO21" i="1"/>
  <c r="AO12" i="1"/>
  <c r="AN13" i="1"/>
  <c r="AN14" i="1"/>
  <c r="AN15" i="1"/>
  <c r="AN16" i="1"/>
  <c r="AN17" i="1"/>
  <c r="AN18" i="1"/>
  <c r="AN19" i="1"/>
  <c r="AN20" i="1"/>
  <c r="AN21" i="1"/>
  <c r="AN12" i="1"/>
  <c r="AM12" i="1"/>
  <c r="U8" i="1"/>
  <c r="AF8" i="1" s="1"/>
  <c r="AL13" i="1" s="1"/>
  <c r="AL15" i="1" l="1"/>
  <c r="AL20" i="1"/>
  <c r="AL16" i="1"/>
  <c r="AL19" i="1"/>
  <c r="AL12" i="1"/>
  <c r="AL18" i="1"/>
  <c r="AL14" i="1"/>
  <c r="AL21" i="1"/>
  <c r="AL17" i="1"/>
  <c r="G11" i="1"/>
  <c r="H11" i="1" l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l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l="1"/>
  <c r="AQ12" i="1" s="1"/>
</calcChain>
</file>

<file path=xl/sharedStrings.xml><?xml version="1.0" encoding="utf-8"?>
<sst xmlns="http://schemas.openxmlformats.org/spreadsheetml/2006/main" count="342" uniqueCount="51">
  <si>
    <t>Jan</t>
  </si>
  <si>
    <t>ID</t>
  </si>
  <si>
    <t>Total Days</t>
  </si>
  <si>
    <t>Leaves</t>
  </si>
  <si>
    <t>Present</t>
  </si>
  <si>
    <t>Absent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</si>
  <si>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</si>
  <si>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</si>
  <si>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</si>
  <si>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</si>
  <si>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</si>
  <si>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</si>
  <si>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</si>
  <si>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</si>
  <si>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</si>
  <si>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</si>
  <si>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</si>
  <si>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Salaar </t>
  </si>
  <si>
    <t>Ayaan</t>
  </si>
  <si>
    <t>Ziyan</t>
  </si>
  <si>
    <t>Ashar</t>
  </si>
  <si>
    <t>Abiha</t>
  </si>
  <si>
    <t>Laiba</t>
  </si>
  <si>
    <t>Hareem</t>
  </si>
  <si>
    <t>Zunaisha</t>
  </si>
  <si>
    <t>Zarnish</t>
  </si>
  <si>
    <t>P</t>
  </si>
  <si>
    <t>L</t>
  </si>
  <si>
    <t>A</t>
  </si>
  <si>
    <t>Name</t>
  </si>
  <si>
    <t>START DATE :</t>
  </si>
  <si>
    <t>END DATE :</t>
  </si>
  <si>
    <t>z</t>
  </si>
  <si>
    <t>H</t>
  </si>
  <si>
    <t>O</t>
  </si>
  <si>
    <t>p</t>
  </si>
  <si>
    <t>overtime</t>
  </si>
  <si>
    <t>Half Leaves</t>
  </si>
  <si>
    <t>Afnan</t>
  </si>
  <si>
    <t>Mon</t>
  </si>
  <si>
    <t>Tue</t>
  </si>
  <si>
    <t>Wed</t>
  </si>
  <si>
    <t>Thu</t>
  </si>
  <si>
    <t>Fri</t>
  </si>
  <si>
    <t>Sat</t>
  </si>
  <si>
    <t>Sun</t>
  </si>
  <si>
    <t>Sunday</t>
  </si>
  <si>
    <t>workers attendence sheet</t>
  </si>
  <si>
    <t>thuFri</t>
  </si>
  <si>
    <t>SELECT YEAR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</si>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</sst>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0"/>
      <name val="Algerian"/>
      <family val="5"/>
    </font>
    <font>
      <b/>
      <i/>
      <sz val="12"/>
      <color theme="1"/>
      <name val="Arial"/>
      <family val="2"/>
    </font>
    <font>
      <sz val="26"/>
      <color theme="9" tint="-0.499984740745262"/>
      <name val="Algerian"/>
      <family val="5"/>
    </font>
    <font>
      <b/>
      <i/>
      <sz val="11"/>
      <color theme="1"/>
      <name val="Calibri Light"/>
      <family val="2"/>
      <scheme val="major"/>
    </font>
    <font>
      <b/>
      <i/>
      <sz val="12"/>
      <color theme="1"/>
      <name val="Calibri Light"/>
      <family val="2"/>
      <scheme val="major"/>
    </font>
    <font>
      <b/>
      <sz val="11"/>
      <color theme="1"/>
      <name val="Algerian"/>
      <family val="5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164" fontId="2" fillId="7" borderId="1" xfId="0" applyNumberFormat="1" applyFont="1" applyFill="1" applyBorder="1"/>
    <xf numFmtId="164" fontId="2" fillId="4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2" fillId="4" borderId="3" xfId="0" applyFont="1" applyFill="1" applyBorder="1" applyAlignment="1">
      <alignment horizontal="center" vertical="center" textRotation="90" wrapText="1"/>
    </xf>
    <xf numFmtId="0" fontId="12" fillId="4" borderId="4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6" borderId="5" xfId="0" applyFont="1" applyFill="1" applyBorder="1"/>
    <xf numFmtId="0" fontId="3" fillId="4" borderId="5" xfId="0" applyFont="1" applyFill="1" applyBorder="1"/>
    <xf numFmtId="0" fontId="10" fillId="6" borderId="5" xfId="0" applyFont="1" applyFill="1" applyBorder="1"/>
    <xf numFmtId="0" fontId="8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5" borderId="0" xfId="0" applyFill="1" applyBorder="1"/>
    <xf numFmtId="0" fontId="3" fillId="5" borderId="0" xfId="0" applyFont="1" applyFill="1" applyBorder="1" applyAlignment="1">
      <alignment horizontal="center"/>
    </xf>
    <xf numFmtId="14" fontId="3" fillId="5" borderId="0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3" fillId="5" borderId="0" xfId="0" applyFont="1" applyFill="1" applyBorder="1"/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17B1B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  <color rgb="FFFF3300"/>
      <color rgb="FFFF6600"/>
      <color rgb="FFCCFF99"/>
      <color rgb="FFFF9B9B"/>
      <color rgb="FFFF9966"/>
      <color rgb="FF66D4C2"/>
      <color rgb="FF17B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B0D7-6354-4E47-9A2C-79FFB88FD102}">
  <dimension ref="C1:AQ43"/>
  <sheetViews>
    <sheetView showGridLines="0" tabSelected="1" zoomScale="55" zoomScaleNormal="55" workbookViewId="0">
      <selection activeCell="S28" sqref="S28"/>
    </sheetView>
  </sheetViews>
  <sheetFormatPr defaultRowHeight="15" x14ac:dyDescent="0.25"/>
  <cols>
    <col min="5" max="5" width="5.5703125" bestFit="1" customWidth="1"/>
    <col min="6" max="6" width="8.85546875" bestFit="1" customWidth="1"/>
    <col min="7" max="7" width="5" bestFit="1" customWidth="1"/>
    <col min="8" max="8" width="4.28515625" bestFit="1" customWidth="1"/>
    <col min="9" max="9" width="5.140625" bestFit="1" customWidth="1"/>
    <col min="10" max="10" width="4.28515625" bestFit="1" customWidth="1"/>
    <col min="11" max="11" width="3.28515625" bestFit="1" customWidth="1"/>
    <col min="12" max="12" width="3.7109375" bestFit="1" customWidth="1"/>
    <col min="13" max="13" width="4.28515625" bestFit="1" customWidth="1"/>
    <col min="14" max="14" width="5" bestFit="1" customWidth="1"/>
    <col min="15" max="15" width="4.28515625" bestFit="1" customWidth="1"/>
    <col min="16" max="16" width="5.140625" bestFit="1" customWidth="1"/>
    <col min="17" max="17" width="4.28515625" bestFit="1" customWidth="1"/>
    <col min="18" max="18" width="3.28515625" bestFit="1" customWidth="1"/>
    <col min="19" max="19" width="3.7109375" bestFit="1" customWidth="1"/>
    <col min="20" max="20" width="4.28515625" bestFit="1" customWidth="1"/>
    <col min="21" max="21" width="6.5703125" customWidth="1"/>
    <col min="22" max="22" width="3.7109375" customWidth="1"/>
    <col min="23" max="23" width="5.140625" hidden="1" customWidth="1"/>
    <col min="24" max="24" width="4.28515625" bestFit="1" customWidth="1"/>
    <col min="25" max="25" width="3.28515625" bestFit="1" customWidth="1"/>
    <col min="26" max="26" width="3.7109375" bestFit="1" customWidth="1"/>
    <col min="27" max="27" width="4.28515625" bestFit="1" customWidth="1"/>
    <col min="28" max="28" width="5" bestFit="1" customWidth="1"/>
    <col min="29" max="29" width="4.28515625" bestFit="1" customWidth="1"/>
    <col min="30" max="30" width="5.140625" bestFit="1" customWidth="1"/>
    <col min="31" max="31" width="4.28515625" bestFit="1" customWidth="1"/>
    <col min="32" max="32" width="3.28515625" bestFit="1" customWidth="1"/>
    <col min="33" max="33" width="3.7109375" bestFit="1" customWidth="1"/>
    <col min="34" max="34" width="4.28515625" bestFit="1" customWidth="1"/>
    <col min="35" max="35" width="5" bestFit="1" customWidth="1"/>
    <col min="36" max="36" width="4.28515625" bestFit="1" customWidth="1"/>
    <col min="37" max="37" width="5.140625" bestFit="1" customWidth="1"/>
    <col min="38" max="38" width="10.42578125" bestFit="1" customWidth="1"/>
    <col min="39" max="39" width="8.42578125" customWidth="1"/>
    <col min="40" max="40" width="9" customWidth="1"/>
    <col min="41" max="41" width="10.42578125" bestFit="1" customWidth="1"/>
    <col min="42" max="42" width="15" bestFit="1" customWidth="1"/>
    <col min="43" max="43" width="17" bestFit="1" customWidth="1"/>
    <col min="44" max="44" width="16.42578125" bestFit="1" customWidth="1"/>
  </cols>
  <sheetData>
    <row r="1" spans="3:43" x14ac:dyDescent="0.25">
      <c r="U1" s="2"/>
    </row>
    <row r="2" spans="3:43" x14ac:dyDescent="0.25">
      <c r="F2" s="38" t="s">
        <v>47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3:43" ht="15" customHeight="1" x14ac:dyDescent="0.25">
      <c r="C3" t="s">
        <v>32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3:43" x14ac:dyDescent="0.25"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3:43" x14ac:dyDescent="0.25"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3:43" x14ac:dyDescent="0.25"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3:43" x14ac:dyDescent="0.25"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3" t="s">
        <v>49</v>
      </c>
      <c r="R7" s="33"/>
      <c r="S7" s="33"/>
      <c r="T7" s="33"/>
      <c r="U7" s="33" t="s">
        <v>50</v>
      </c>
      <c r="V7" s="33"/>
      <c r="W7" s="33"/>
      <c r="X7" s="34"/>
      <c r="Y7" s="34"/>
      <c r="Z7" s="34"/>
      <c r="AA7" s="34"/>
      <c r="AB7" s="34"/>
      <c r="AC7" s="33" t="s">
        <v>49</v>
      </c>
      <c r="AD7" s="33"/>
      <c r="AE7" s="33"/>
      <c r="AF7" s="33">
        <v>2025</v>
      </c>
      <c r="AG7" s="33"/>
      <c r="AH7" s="33"/>
      <c r="AI7" s="32"/>
      <c r="AJ7" s="32"/>
      <c r="AK7" s="32"/>
      <c r="AL7" s="32"/>
      <c r="AM7" s="32"/>
      <c r="AN7" s="32"/>
    </row>
    <row r="8" spans="3:43" x14ac:dyDescent="0.25">
      <c r="F8" s="35"/>
      <c r="G8" s="35"/>
      <c r="H8" s="35"/>
      <c r="I8" s="35"/>
      <c r="J8" s="35"/>
      <c r="K8" s="35"/>
      <c r="L8" s="35"/>
      <c r="M8" s="35"/>
      <c r="N8" s="36" t="s">
        <v>30</v>
      </c>
      <c r="O8" s="36"/>
      <c r="P8" s="36"/>
      <c r="Q8" s="36"/>
      <c r="R8" s="36"/>
      <c r="S8" s="36"/>
      <c r="T8" s="36"/>
      <c r="U8" s="37">
        <f>DATEVALUE(1&amp;U7&amp;AF7)</f>
        <v>45658</v>
      </c>
      <c r="V8" s="37"/>
      <c r="W8" s="37"/>
      <c r="X8" s="35"/>
      <c r="Y8" s="35"/>
      <c r="Z8" s="35"/>
      <c r="AA8" s="35"/>
      <c r="AB8" s="35"/>
      <c r="AC8" s="36" t="s">
        <v>31</v>
      </c>
      <c r="AD8" s="36"/>
      <c r="AE8" s="36"/>
      <c r="AF8" s="37">
        <f>EOMONTH(U8,0)</f>
        <v>45688</v>
      </c>
      <c r="AG8" s="37"/>
      <c r="AH8" s="37"/>
      <c r="AI8" s="35"/>
      <c r="AJ8" s="35"/>
      <c r="AK8" s="35"/>
      <c r="AL8" s="35"/>
      <c r="AM8" s="35"/>
      <c r="AN8" s="35"/>
    </row>
    <row r="9" spans="3:43" x14ac:dyDescent="0.25">
      <c r="F9" s="35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5"/>
      <c r="AM9" s="35"/>
      <c r="AN9" s="35"/>
    </row>
    <row r="10" spans="3:43" ht="15" customHeight="1" x14ac:dyDescent="0.25">
      <c r="E10" s="10" t="s">
        <v>1</v>
      </c>
      <c r="F10" s="24" t="s">
        <v>29</v>
      </c>
      <c r="G10" s="25" t="s">
        <v>39</v>
      </c>
      <c r="H10" s="25" t="s">
        <v>40</v>
      </c>
      <c r="I10" s="25" t="s">
        <v>41</v>
      </c>
      <c r="J10" s="25" t="s">
        <v>42</v>
      </c>
      <c r="K10" s="25" t="s">
        <v>43</v>
      </c>
      <c r="L10" s="25" t="s">
        <v>44</v>
      </c>
      <c r="M10" s="26" t="s">
        <v>45</v>
      </c>
      <c r="N10" s="25" t="s">
        <v>39</v>
      </c>
      <c r="O10" s="25" t="s">
        <v>40</v>
      </c>
      <c r="P10" s="25" t="s">
        <v>41</v>
      </c>
      <c r="Q10" s="25" t="s">
        <v>42</v>
      </c>
      <c r="R10" s="25" t="s">
        <v>43</v>
      </c>
      <c r="S10" s="25" t="s">
        <v>44</v>
      </c>
      <c r="T10" s="26" t="s">
        <v>45</v>
      </c>
      <c r="U10" s="25" t="s">
        <v>39</v>
      </c>
      <c r="V10" s="25" t="s">
        <v>40</v>
      </c>
      <c r="W10" s="25" t="s">
        <v>41</v>
      </c>
      <c r="X10" s="25" t="s">
        <v>42</v>
      </c>
      <c r="Y10" s="25" t="s">
        <v>43</v>
      </c>
      <c r="Z10" s="25" t="s">
        <v>44</v>
      </c>
      <c r="AA10" s="26" t="s">
        <v>45</v>
      </c>
      <c r="AB10" s="25" t="s">
        <v>39</v>
      </c>
      <c r="AC10" s="25" t="s">
        <v>40</v>
      </c>
      <c r="AD10" s="25" t="s">
        <v>41</v>
      </c>
      <c r="AE10" s="27" t="s">
        <v>48</v>
      </c>
      <c r="AF10" s="25" t="s">
        <v>43</v>
      </c>
      <c r="AG10" s="25" t="s">
        <v>44</v>
      </c>
      <c r="AH10" s="26" t="s">
        <v>45</v>
      </c>
      <c r="AI10" s="25" t="s">
        <v>39</v>
      </c>
      <c r="AJ10" s="25" t="s">
        <v>40</v>
      </c>
      <c r="AK10" s="25" t="s">
        <v>41</v>
      </c>
      <c r="AL10" s="28" t="s">
        <v>2</v>
      </c>
      <c r="AM10" s="29" t="s">
        <v>4</v>
      </c>
      <c r="AN10" s="30" t="s">
        <v>5</v>
      </c>
      <c r="AO10" s="15" t="s">
        <v>3</v>
      </c>
      <c r="AP10" s="16" t="s">
        <v>36</v>
      </c>
      <c r="AQ10" s="17" t="s">
        <v>37</v>
      </c>
    </row>
    <row r="11" spans="3:43" x14ac:dyDescent="0.25">
      <c r="E11" s="10"/>
      <c r="F11" s="11"/>
      <c r="G11" s="5">
        <f>$U$8</f>
        <v>45658</v>
      </c>
      <c r="H11" s="5">
        <f>IF(G11&lt;$AF$8,G11+1,"")</f>
        <v>45659</v>
      </c>
      <c r="I11" s="5">
        <f t="shared" ref="I11:AK11" si="0">IF(H11&lt;$AF$8,H11+1,"")</f>
        <v>45660</v>
      </c>
      <c r="J11" s="5">
        <f t="shared" si="0"/>
        <v>45661</v>
      </c>
      <c r="K11" s="5">
        <f t="shared" si="0"/>
        <v>45662</v>
      </c>
      <c r="L11" s="5">
        <f t="shared" si="0"/>
        <v>45663</v>
      </c>
      <c r="M11" s="6">
        <f t="shared" si="0"/>
        <v>45664</v>
      </c>
      <c r="N11" s="5">
        <f t="shared" si="0"/>
        <v>45665</v>
      </c>
      <c r="O11" s="5">
        <f t="shared" si="0"/>
        <v>45666</v>
      </c>
      <c r="P11" s="5">
        <f t="shared" si="0"/>
        <v>45667</v>
      </c>
      <c r="Q11" s="5">
        <f t="shared" si="0"/>
        <v>45668</v>
      </c>
      <c r="R11" s="5">
        <f t="shared" si="0"/>
        <v>45669</v>
      </c>
      <c r="S11" s="5">
        <f t="shared" si="0"/>
        <v>45670</v>
      </c>
      <c r="T11" s="6">
        <f t="shared" si="0"/>
        <v>45671</v>
      </c>
      <c r="U11" s="5">
        <f t="shared" si="0"/>
        <v>45672</v>
      </c>
      <c r="V11" s="5">
        <f t="shared" si="0"/>
        <v>45673</v>
      </c>
      <c r="W11" s="5">
        <f t="shared" si="0"/>
        <v>45674</v>
      </c>
      <c r="X11" s="5">
        <f t="shared" si="0"/>
        <v>45675</v>
      </c>
      <c r="Y11" s="5">
        <f>IF(X11&lt;$AF$8,X11+1,"")</f>
        <v>45676</v>
      </c>
      <c r="Z11" s="5">
        <f t="shared" si="0"/>
        <v>45677</v>
      </c>
      <c r="AA11" s="6">
        <f t="shared" si="0"/>
        <v>45678</v>
      </c>
      <c r="AB11" s="5">
        <f t="shared" si="0"/>
        <v>45679</v>
      </c>
      <c r="AC11" s="5">
        <f t="shared" si="0"/>
        <v>45680</v>
      </c>
      <c r="AD11" s="5">
        <f t="shared" si="0"/>
        <v>45681</v>
      </c>
      <c r="AE11" s="5">
        <f t="shared" si="0"/>
        <v>45682</v>
      </c>
      <c r="AF11" s="5">
        <f t="shared" si="0"/>
        <v>45683</v>
      </c>
      <c r="AG11" s="5">
        <f t="shared" si="0"/>
        <v>45684</v>
      </c>
      <c r="AH11" s="6">
        <f t="shared" si="0"/>
        <v>45685</v>
      </c>
      <c r="AI11" s="5">
        <f t="shared" si="0"/>
        <v>45686</v>
      </c>
      <c r="AJ11" s="5">
        <f t="shared" si="0"/>
        <v>45687</v>
      </c>
      <c r="AK11" s="5">
        <f t="shared" si="0"/>
        <v>45688</v>
      </c>
      <c r="AL11" s="13"/>
      <c r="AM11" s="10"/>
      <c r="AN11" s="14"/>
      <c r="AO11" s="15"/>
      <c r="AP11" s="16"/>
      <c r="AQ11" s="17"/>
    </row>
    <row r="12" spans="3:43" ht="15.75" x14ac:dyDescent="0.25">
      <c r="E12" s="9">
        <v>1001</v>
      </c>
      <c r="F12" s="12" t="s">
        <v>17</v>
      </c>
      <c r="G12" s="21" t="s">
        <v>26</v>
      </c>
      <c r="H12" s="21" t="s">
        <v>26</v>
      </c>
      <c r="I12" s="21" t="s">
        <v>26</v>
      </c>
      <c r="J12" s="21" t="s">
        <v>27</v>
      </c>
      <c r="K12" s="21" t="s">
        <v>27</v>
      </c>
      <c r="L12" s="21" t="s">
        <v>34</v>
      </c>
      <c r="M12" s="18" t="s">
        <v>46</v>
      </c>
      <c r="N12" s="21" t="s">
        <v>26</v>
      </c>
      <c r="O12" s="21" t="s">
        <v>26</v>
      </c>
      <c r="P12" s="21" t="s">
        <v>26</v>
      </c>
      <c r="Q12" s="21" t="s">
        <v>26</v>
      </c>
      <c r="R12" s="21" t="s">
        <v>26</v>
      </c>
      <c r="S12" s="21" t="s">
        <v>34</v>
      </c>
      <c r="T12" s="18" t="s">
        <v>46</v>
      </c>
      <c r="U12" s="21" t="s">
        <v>26</v>
      </c>
      <c r="V12" s="21" t="s">
        <v>33</v>
      </c>
      <c r="W12" s="21" t="s">
        <v>26</v>
      </c>
      <c r="X12" s="21" t="s">
        <v>26</v>
      </c>
      <c r="Y12" s="21" t="s">
        <v>26</v>
      </c>
      <c r="Z12" s="21" t="s">
        <v>34</v>
      </c>
      <c r="AA12" s="18" t="s">
        <v>46</v>
      </c>
      <c r="AB12" s="21" t="s">
        <v>28</v>
      </c>
      <c r="AC12" s="21" t="s">
        <v>26</v>
      </c>
      <c r="AD12" s="21" t="s">
        <v>27</v>
      </c>
      <c r="AE12" s="21" t="s">
        <v>27</v>
      </c>
      <c r="AF12" s="21" t="s">
        <v>26</v>
      </c>
      <c r="AG12" s="21" t="s">
        <v>26</v>
      </c>
      <c r="AH12" s="18" t="s">
        <v>46</v>
      </c>
      <c r="AI12" s="21" t="s">
        <v>26</v>
      </c>
      <c r="AJ12" s="21" t="s">
        <v>28</v>
      </c>
      <c r="AK12" s="21" t="s">
        <v>26</v>
      </c>
      <c r="AL12" s="7">
        <f>DAY($AF$8)</f>
        <v>31</v>
      </c>
      <c r="AM12" s="7">
        <f>COUNTIF(G12:AI12,"p")</f>
        <v>16</v>
      </c>
      <c r="AN12" s="7">
        <f>COUNTIF(G12:AI12,"A")</f>
        <v>1</v>
      </c>
      <c r="AO12" s="7">
        <f>COUNTIF(G12:AI12,"L")</f>
        <v>4</v>
      </c>
      <c r="AP12" s="8">
        <f>COUNTIF(G12:AK12,"O")</f>
        <v>3</v>
      </c>
      <c r="AQ12" s="8">
        <f>COUNTIF(G11:AK11,"H")</f>
        <v>0</v>
      </c>
    </row>
    <row r="13" spans="3:43" ht="15.75" x14ac:dyDescent="0.25">
      <c r="E13" s="9">
        <v>1002</v>
      </c>
      <c r="F13" s="12" t="s">
        <v>18</v>
      </c>
      <c r="G13" s="21" t="s">
        <v>28</v>
      </c>
      <c r="H13" s="21" t="s">
        <v>28</v>
      </c>
      <c r="I13" s="21" t="s">
        <v>26</v>
      </c>
      <c r="J13" s="21" t="s">
        <v>26</v>
      </c>
      <c r="K13" s="21" t="s">
        <v>26</v>
      </c>
      <c r="L13" s="21" t="s">
        <v>26</v>
      </c>
      <c r="M13" s="19"/>
      <c r="N13" s="21" t="s">
        <v>26</v>
      </c>
      <c r="O13" s="21" t="s">
        <v>26</v>
      </c>
      <c r="P13" s="21" t="s">
        <v>28</v>
      </c>
      <c r="Q13" s="21" t="s">
        <v>26</v>
      </c>
      <c r="R13" s="21" t="s">
        <v>26</v>
      </c>
      <c r="S13" s="21" t="s">
        <v>26</v>
      </c>
      <c r="T13" s="19"/>
      <c r="U13" s="21" t="s">
        <v>28</v>
      </c>
      <c r="V13" s="21" t="s">
        <v>28</v>
      </c>
      <c r="W13" s="21" t="s">
        <v>28</v>
      </c>
      <c r="X13" s="21" t="s">
        <v>28</v>
      </c>
      <c r="Y13" s="21" t="s">
        <v>26</v>
      </c>
      <c r="Z13" s="21" t="s">
        <v>26</v>
      </c>
      <c r="AA13" s="19"/>
      <c r="AB13" s="21" t="s">
        <v>26</v>
      </c>
      <c r="AC13" s="21" t="s">
        <v>26</v>
      </c>
      <c r="AD13" s="21" t="s">
        <v>26</v>
      </c>
      <c r="AE13" s="21" t="s">
        <v>26</v>
      </c>
      <c r="AF13" s="21" t="s">
        <v>26</v>
      </c>
      <c r="AG13" s="21" t="s">
        <v>34</v>
      </c>
      <c r="AH13" s="19"/>
      <c r="AI13" s="21" t="s">
        <v>26</v>
      </c>
      <c r="AJ13" s="21" t="s">
        <v>26</v>
      </c>
      <c r="AK13" s="21" t="s">
        <v>26</v>
      </c>
      <c r="AL13" s="7">
        <f t="shared" ref="AL13:AL21" si="1">DAY($AF$8)</f>
        <v>31</v>
      </c>
      <c r="AM13" s="7">
        <f t="shared" ref="AM13:AM21" si="2">COUNTIF(G13:AI13,"p")</f>
        <v>17</v>
      </c>
      <c r="AN13" s="7">
        <f t="shared" ref="AN13:AN21" si="3">COUNTIF(G13:AI13,"A")</f>
        <v>7</v>
      </c>
      <c r="AO13" s="7">
        <f t="shared" ref="AO13:AO21" si="4">COUNTIF(G13:AI13,"L")</f>
        <v>0</v>
      </c>
      <c r="AP13" s="8">
        <f t="shared" ref="AP13:AP21" si="5">COUNTIF(G13:AK13,"O")</f>
        <v>1</v>
      </c>
      <c r="AQ13" s="8">
        <f t="shared" ref="AQ13:AQ21" si="6">COUNTIF(G12:AK12,"H")</f>
        <v>1</v>
      </c>
    </row>
    <row r="14" spans="3:43" ht="15.75" x14ac:dyDescent="0.25">
      <c r="E14" s="9">
        <v>1003</v>
      </c>
      <c r="F14" s="12" t="s">
        <v>19</v>
      </c>
      <c r="G14" s="21" t="s">
        <v>28</v>
      </c>
      <c r="H14" s="21" t="s">
        <v>26</v>
      </c>
      <c r="I14" s="21" t="s">
        <v>26</v>
      </c>
      <c r="J14" s="21" t="s">
        <v>28</v>
      </c>
      <c r="K14" s="21" t="s">
        <v>26</v>
      </c>
      <c r="L14" s="21" t="s">
        <v>26</v>
      </c>
      <c r="M14" s="19"/>
      <c r="N14" s="21" t="s">
        <v>26</v>
      </c>
      <c r="O14" s="21" t="s">
        <v>26</v>
      </c>
      <c r="P14" s="21" t="s">
        <v>26</v>
      </c>
      <c r="Q14" s="21" t="s">
        <v>34</v>
      </c>
      <c r="R14" s="21" t="s">
        <v>28</v>
      </c>
      <c r="S14" s="21" t="s">
        <v>26</v>
      </c>
      <c r="T14" s="19"/>
      <c r="U14" s="21" t="s">
        <v>26</v>
      </c>
      <c r="V14" s="21" t="s">
        <v>33</v>
      </c>
      <c r="W14" s="21" t="s">
        <v>26</v>
      </c>
      <c r="X14" s="21" t="s">
        <v>26</v>
      </c>
      <c r="Y14" s="21" t="s">
        <v>26</v>
      </c>
      <c r="Z14" s="21" t="s">
        <v>26</v>
      </c>
      <c r="AA14" s="19"/>
      <c r="AB14" s="21" t="s">
        <v>26</v>
      </c>
      <c r="AC14" s="21" t="s">
        <v>26</v>
      </c>
      <c r="AD14" s="21" t="s">
        <v>28</v>
      </c>
      <c r="AE14" s="21" t="s">
        <v>26</v>
      </c>
      <c r="AF14" s="21" t="s">
        <v>26</v>
      </c>
      <c r="AG14" s="21" t="s">
        <v>34</v>
      </c>
      <c r="AH14" s="19"/>
      <c r="AI14" s="21" t="s">
        <v>26</v>
      </c>
      <c r="AJ14" s="21" t="s">
        <v>26</v>
      </c>
      <c r="AK14" s="21" t="s">
        <v>26</v>
      </c>
      <c r="AL14" s="7">
        <f t="shared" si="1"/>
        <v>31</v>
      </c>
      <c r="AM14" s="7">
        <f t="shared" si="2"/>
        <v>18</v>
      </c>
      <c r="AN14" s="7">
        <f t="shared" si="3"/>
        <v>4</v>
      </c>
      <c r="AO14" s="7">
        <f t="shared" si="4"/>
        <v>0</v>
      </c>
      <c r="AP14" s="8">
        <f t="shared" si="5"/>
        <v>2</v>
      </c>
      <c r="AQ14" s="8">
        <f t="shared" si="6"/>
        <v>0</v>
      </c>
    </row>
    <row r="15" spans="3:43" ht="15.75" x14ac:dyDescent="0.25">
      <c r="E15" s="9">
        <v>1004</v>
      </c>
      <c r="F15" s="12" t="s">
        <v>20</v>
      </c>
      <c r="G15" s="21" t="s">
        <v>26</v>
      </c>
      <c r="H15" s="21" t="s">
        <v>26</v>
      </c>
      <c r="I15" s="21" t="s">
        <v>26</v>
      </c>
      <c r="J15" s="21" t="s">
        <v>26</v>
      </c>
      <c r="K15" s="21" t="s">
        <v>28</v>
      </c>
      <c r="L15" s="21" t="s">
        <v>27</v>
      </c>
      <c r="M15" s="19"/>
      <c r="N15" s="21" t="s">
        <v>26</v>
      </c>
      <c r="O15" s="21" t="s">
        <v>34</v>
      </c>
      <c r="P15" s="21" t="s">
        <v>34</v>
      </c>
      <c r="Q15" s="21" t="s">
        <v>26</v>
      </c>
      <c r="R15" s="21" t="s">
        <v>27</v>
      </c>
      <c r="S15" s="21" t="s">
        <v>27</v>
      </c>
      <c r="T15" s="19"/>
      <c r="U15" s="21" t="s">
        <v>26</v>
      </c>
      <c r="V15" s="21" t="s">
        <v>26</v>
      </c>
      <c r="W15" s="21" t="s">
        <v>34</v>
      </c>
      <c r="X15" s="21" t="s">
        <v>28</v>
      </c>
      <c r="Y15" s="21" t="s">
        <v>28</v>
      </c>
      <c r="Z15" s="21" t="s">
        <v>27</v>
      </c>
      <c r="AA15" s="19"/>
      <c r="AB15" s="21" t="s">
        <v>26</v>
      </c>
      <c r="AC15" s="21" t="s">
        <v>34</v>
      </c>
      <c r="AD15" s="21" t="s">
        <v>26</v>
      </c>
      <c r="AE15" s="21" t="s">
        <v>28</v>
      </c>
      <c r="AF15" s="21" t="s">
        <v>28</v>
      </c>
      <c r="AG15" s="21" t="s">
        <v>34</v>
      </c>
      <c r="AH15" s="19"/>
      <c r="AI15" s="21" t="s">
        <v>26</v>
      </c>
      <c r="AJ15" s="21" t="s">
        <v>26</v>
      </c>
      <c r="AK15" s="21" t="s">
        <v>26</v>
      </c>
      <c r="AL15" s="7">
        <f t="shared" si="1"/>
        <v>31</v>
      </c>
      <c r="AM15" s="7">
        <f t="shared" si="2"/>
        <v>11</v>
      </c>
      <c r="AN15" s="7">
        <f t="shared" si="3"/>
        <v>5</v>
      </c>
      <c r="AO15" s="7">
        <f t="shared" si="4"/>
        <v>4</v>
      </c>
      <c r="AP15" s="8">
        <f t="shared" si="5"/>
        <v>5</v>
      </c>
      <c r="AQ15" s="8">
        <f t="shared" si="6"/>
        <v>1</v>
      </c>
    </row>
    <row r="16" spans="3:43" ht="15.75" x14ac:dyDescent="0.25">
      <c r="E16" s="9">
        <v>1005</v>
      </c>
      <c r="F16" s="12" t="s">
        <v>21</v>
      </c>
      <c r="G16" s="21" t="s">
        <v>26</v>
      </c>
      <c r="H16" s="21" t="s">
        <v>26</v>
      </c>
      <c r="I16" s="21" t="s">
        <v>26</v>
      </c>
      <c r="J16" s="21" t="s">
        <v>26</v>
      </c>
      <c r="K16" s="23" t="s">
        <v>34</v>
      </c>
      <c r="L16" s="21" t="s">
        <v>26</v>
      </c>
      <c r="M16" s="19"/>
      <c r="N16" s="21" t="s">
        <v>28</v>
      </c>
      <c r="O16" s="21" t="s">
        <v>26</v>
      </c>
      <c r="P16" s="21" t="s">
        <v>27</v>
      </c>
      <c r="Q16" s="21" t="s">
        <v>27</v>
      </c>
      <c r="R16" s="21" t="s">
        <v>26</v>
      </c>
      <c r="S16" s="21" t="s">
        <v>26</v>
      </c>
      <c r="T16" s="19"/>
      <c r="U16" s="21" t="s">
        <v>26</v>
      </c>
      <c r="V16" s="21" t="s">
        <v>26</v>
      </c>
      <c r="W16" s="21" t="s">
        <v>26</v>
      </c>
      <c r="X16" s="21" t="s">
        <v>27</v>
      </c>
      <c r="Y16" s="21" t="s">
        <v>27</v>
      </c>
      <c r="Z16" s="21" t="s">
        <v>26</v>
      </c>
      <c r="AA16" s="19"/>
      <c r="AB16" s="21" t="s">
        <v>26</v>
      </c>
      <c r="AC16" s="21" t="s">
        <v>26</v>
      </c>
      <c r="AD16" s="21" t="s">
        <v>34</v>
      </c>
      <c r="AE16" s="21" t="s">
        <v>26</v>
      </c>
      <c r="AF16" s="21" t="s">
        <v>26</v>
      </c>
      <c r="AG16" s="21" t="s">
        <v>26</v>
      </c>
      <c r="AH16" s="19"/>
      <c r="AI16" s="21" t="s">
        <v>34</v>
      </c>
      <c r="AJ16" s="21" t="s">
        <v>26</v>
      </c>
      <c r="AK16" s="21" t="s">
        <v>26</v>
      </c>
      <c r="AL16" s="7">
        <f t="shared" si="1"/>
        <v>31</v>
      </c>
      <c r="AM16" s="7">
        <f t="shared" si="2"/>
        <v>17</v>
      </c>
      <c r="AN16" s="7">
        <f t="shared" si="3"/>
        <v>1</v>
      </c>
      <c r="AO16" s="7">
        <f t="shared" si="4"/>
        <v>4</v>
      </c>
      <c r="AP16" s="8">
        <f t="shared" si="5"/>
        <v>3</v>
      </c>
      <c r="AQ16" s="8">
        <f t="shared" si="6"/>
        <v>0</v>
      </c>
    </row>
    <row r="17" spans="5:43" ht="15.75" x14ac:dyDescent="0.25">
      <c r="E17" s="9">
        <v>1006</v>
      </c>
      <c r="F17" s="12" t="s">
        <v>22</v>
      </c>
      <c r="G17" s="21" t="s">
        <v>26</v>
      </c>
      <c r="H17" s="21" t="s">
        <v>26</v>
      </c>
      <c r="I17" s="21" t="s">
        <v>28</v>
      </c>
      <c r="J17" s="21" t="s">
        <v>26</v>
      </c>
      <c r="K17" s="21" t="s">
        <v>26</v>
      </c>
      <c r="L17" s="21" t="s">
        <v>34</v>
      </c>
      <c r="M17" s="19"/>
      <c r="N17" s="21" t="s">
        <v>26</v>
      </c>
      <c r="O17" s="21" t="s">
        <v>26</v>
      </c>
      <c r="P17" s="21" t="s">
        <v>26</v>
      </c>
      <c r="Q17" s="21" t="s">
        <v>26</v>
      </c>
      <c r="R17" s="21" t="s">
        <v>26</v>
      </c>
      <c r="S17" s="21" t="s">
        <v>34</v>
      </c>
      <c r="T17" s="19"/>
      <c r="U17" s="21" t="s">
        <v>26</v>
      </c>
      <c r="V17" s="21" t="s">
        <v>26</v>
      </c>
      <c r="W17" s="21" t="s">
        <v>26</v>
      </c>
      <c r="X17" s="21" t="s">
        <v>26</v>
      </c>
      <c r="Y17" s="21" t="s">
        <v>26</v>
      </c>
      <c r="Z17" s="21" t="s">
        <v>34</v>
      </c>
      <c r="AA17" s="19"/>
      <c r="AB17" s="21" t="s">
        <v>26</v>
      </c>
      <c r="AC17" s="21" t="s">
        <v>28</v>
      </c>
      <c r="AD17" s="21" t="s">
        <v>26</v>
      </c>
      <c r="AE17" s="21" t="s">
        <v>26</v>
      </c>
      <c r="AF17" s="21" t="s">
        <v>26</v>
      </c>
      <c r="AG17" s="21" t="s">
        <v>28</v>
      </c>
      <c r="AH17" s="19"/>
      <c r="AI17" s="21" t="s">
        <v>26</v>
      </c>
      <c r="AJ17" s="21" t="s">
        <v>26</v>
      </c>
      <c r="AK17" s="21" t="s">
        <v>28</v>
      </c>
      <c r="AL17" s="7">
        <f t="shared" si="1"/>
        <v>31</v>
      </c>
      <c r="AM17" s="7">
        <f t="shared" si="2"/>
        <v>19</v>
      </c>
      <c r="AN17" s="7">
        <f t="shared" si="3"/>
        <v>3</v>
      </c>
      <c r="AO17" s="7">
        <f t="shared" si="4"/>
        <v>0</v>
      </c>
      <c r="AP17" s="8">
        <f t="shared" si="5"/>
        <v>3</v>
      </c>
      <c r="AQ17" s="8">
        <f t="shared" si="6"/>
        <v>0</v>
      </c>
    </row>
    <row r="18" spans="5:43" ht="15.75" x14ac:dyDescent="0.25">
      <c r="E18" s="9">
        <v>1007</v>
      </c>
      <c r="F18" s="12" t="s">
        <v>23</v>
      </c>
      <c r="G18" s="21" t="s">
        <v>26</v>
      </c>
      <c r="H18" s="21" t="s">
        <v>26</v>
      </c>
      <c r="I18" s="21" t="s">
        <v>26</v>
      </c>
      <c r="J18" s="21" t="s">
        <v>26</v>
      </c>
      <c r="K18" s="21" t="s">
        <v>28</v>
      </c>
      <c r="L18" s="21" t="s">
        <v>34</v>
      </c>
      <c r="M18" s="19"/>
      <c r="N18" s="21" t="s">
        <v>28</v>
      </c>
      <c r="O18" s="21" t="s">
        <v>28</v>
      </c>
      <c r="P18" s="21" t="s">
        <v>27</v>
      </c>
      <c r="Q18" s="21" t="s">
        <v>27</v>
      </c>
      <c r="R18" s="21" t="s">
        <v>33</v>
      </c>
      <c r="S18" s="21" t="s">
        <v>34</v>
      </c>
      <c r="T18" s="19"/>
      <c r="U18" s="21" t="s">
        <v>26</v>
      </c>
      <c r="V18" s="21" t="s">
        <v>33</v>
      </c>
      <c r="W18" s="21" t="s">
        <v>33</v>
      </c>
      <c r="X18" s="21" t="s">
        <v>27</v>
      </c>
      <c r="Y18" s="21" t="s">
        <v>27</v>
      </c>
      <c r="Z18" s="20" t="s">
        <v>34</v>
      </c>
      <c r="AA18" s="19"/>
      <c r="AB18" s="21" t="s">
        <v>28</v>
      </c>
      <c r="AC18" s="21" t="s">
        <v>26</v>
      </c>
      <c r="AD18" s="21" t="s">
        <v>26</v>
      </c>
      <c r="AE18" s="21" t="s">
        <v>28</v>
      </c>
      <c r="AF18" s="21" t="s">
        <v>28</v>
      </c>
      <c r="AG18" s="21" t="s">
        <v>27</v>
      </c>
      <c r="AH18" s="19"/>
      <c r="AI18" s="21" t="s">
        <v>28</v>
      </c>
      <c r="AJ18" s="21" t="s">
        <v>28</v>
      </c>
      <c r="AK18" s="21" t="s">
        <v>26</v>
      </c>
      <c r="AL18" s="7">
        <f t="shared" si="1"/>
        <v>31</v>
      </c>
      <c r="AM18" s="7">
        <f t="shared" si="2"/>
        <v>7</v>
      </c>
      <c r="AN18" s="7">
        <f t="shared" si="3"/>
        <v>7</v>
      </c>
      <c r="AO18" s="7">
        <f t="shared" si="4"/>
        <v>5</v>
      </c>
      <c r="AP18" s="8">
        <f t="shared" si="5"/>
        <v>3</v>
      </c>
      <c r="AQ18" s="8">
        <f t="shared" si="6"/>
        <v>0</v>
      </c>
    </row>
    <row r="19" spans="5:43" ht="15.75" x14ac:dyDescent="0.25">
      <c r="E19" s="9">
        <v>1008</v>
      </c>
      <c r="F19" s="12" t="s">
        <v>24</v>
      </c>
      <c r="G19" s="21" t="s">
        <v>26</v>
      </c>
      <c r="H19" s="21" t="s">
        <v>26</v>
      </c>
      <c r="I19" s="21" t="s">
        <v>26</v>
      </c>
      <c r="J19" s="21" t="s">
        <v>26</v>
      </c>
      <c r="K19" s="21" t="s">
        <v>26</v>
      </c>
      <c r="L19" s="21" t="s">
        <v>34</v>
      </c>
      <c r="M19" s="19"/>
      <c r="N19" s="21" t="s">
        <v>26</v>
      </c>
      <c r="O19" s="21" t="s">
        <v>26</v>
      </c>
      <c r="P19" s="21" t="s">
        <v>34</v>
      </c>
      <c r="Q19" s="21" t="s">
        <v>26</v>
      </c>
      <c r="R19" s="21" t="s">
        <v>26</v>
      </c>
      <c r="S19" s="21" t="s">
        <v>34</v>
      </c>
      <c r="T19" s="19"/>
      <c r="U19" s="21" t="s">
        <v>26</v>
      </c>
      <c r="V19" s="21" t="s">
        <v>34</v>
      </c>
      <c r="W19" s="21" t="s">
        <v>26</v>
      </c>
      <c r="X19" s="21" t="s">
        <v>26</v>
      </c>
      <c r="Y19" s="21" t="s">
        <v>28</v>
      </c>
      <c r="Z19" s="21" t="s">
        <v>26</v>
      </c>
      <c r="AA19" s="19"/>
      <c r="AB19" s="21" t="s">
        <v>26</v>
      </c>
      <c r="AC19" s="21" t="s">
        <v>34</v>
      </c>
      <c r="AD19" s="21" t="s">
        <v>26</v>
      </c>
      <c r="AE19" s="21" t="s">
        <v>26</v>
      </c>
      <c r="AF19" s="21" t="s">
        <v>26</v>
      </c>
      <c r="AG19" s="21" t="s">
        <v>26</v>
      </c>
      <c r="AH19" s="19"/>
      <c r="AI19" s="21" t="s">
        <v>26</v>
      </c>
      <c r="AJ19" s="21" t="s">
        <v>26</v>
      </c>
      <c r="AK19" s="21" t="s">
        <v>26</v>
      </c>
      <c r="AL19" s="7">
        <f t="shared" si="1"/>
        <v>31</v>
      </c>
      <c r="AM19" s="7">
        <f t="shared" si="2"/>
        <v>19</v>
      </c>
      <c r="AN19" s="7">
        <f t="shared" si="3"/>
        <v>1</v>
      </c>
      <c r="AO19" s="7">
        <f t="shared" si="4"/>
        <v>0</v>
      </c>
      <c r="AP19" s="8">
        <f t="shared" si="5"/>
        <v>5</v>
      </c>
      <c r="AQ19" s="8">
        <f t="shared" si="6"/>
        <v>3</v>
      </c>
    </row>
    <row r="20" spans="5:43" ht="15.75" x14ac:dyDescent="0.25">
      <c r="E20" s="9">
        <v>1009</v>
      </c>
      <c r="F20" s="12" t="s">
        <v>25</v>
      </c>
      <c r="G20" s="21" t="s">
        <v>26</v>
      </c>
      <c r="H20" s="21" t="s">
        <v>26</v>
      </c>
      <c r="I20" s="21" t="s">
        <v>28</v>
      </c>
      <c r="J20" s="21" t="s">
        <v>26</v>
      </c>
      <c r="K20" s="21" t="s">
        <v>26</v>
      </c>
      <c r="L20" s="21" t="s">
        <v>33</v>
      </c>
      <c r="M20" s="19"/>
      <c r="N20" s="21" t="s">
        <v>26</v>
      </c>
      <c r="O20" s="21" t="s">
        <v>26</v>
      </c>
      <c r="P20" s="21" t="s">
        <v>26</v>
      </c>
      <c r="Q20" s="21" t="s">
        <v>28</v>
      </c>
      <c r="R20" s="21" t="s">
        <v>28</v>
      </c>
      <c r="S20" s="21" t="s">
        <v>33</v>
      </c>
      <c r="T20" s="19"/>
      <c r="U20" s="21" t="s">
        <v>26</v>
      </c>
      <c r="V20" s="21" t="s">
        <v>26</v>
      </c>
      <c r="W20" s="21" t="s">
        <v>26</v>
      </c>
      <c r="X20" s="21" t="s">
        <v>26</v>
      </c>
      <c r="Y20" s="21" t="s">
        <v>26</v>
      </c>
      <c r="Z20" s="21" t="s">
        <v>33</v>
      </c>
      <c r="AA20" s="19"/>
      <c r="AB20" s="21" t="s">
        <v>26</v>
      </c>
      <c r="AC20" s="21" t="s">
        <v>26</v>
      </c>
      <c r="AD20" s="21" t="s">
        <v>26</v>
      </c>
      <c r="AE20" s="21" t="s">
        <v>26</v>
      </c>
      <c r="AF20" s="21" t="s">
        <v>26</v>
      </c>
      <c r="AG20" s="21" t="s">
        <v>35</v>
      </c>
      <c r="AH20" s="19"/>
      <c r="AI20" s="21" t="s">
        <v>34</v>
      </c>
      <c r="AJ20" s="21" t="s">
        <v>26</v>
      </c>
      <c r="AK20" s="21" t="s">
        <v>26</v>
      </c>
      <c r="AL20" s="7">
        <f t="shared" si="1"/>
        <v>31</v>
      </c>
      <c r="AM20" s="7">
        <f t="shared" si="2"/>
        <v>18</v>
      </c>
      <c r="AN20" s="7">
        <f t="shared" si="3"/>
        <v>3</v>
      </c>
      <c r="AO20" s="7">
        <f t="shared" si="4"/>
        <v>0</v>
      </c>
      <c r="AP20" s="8">
        <f t="shared" si="5"/>
        <v>1</v>
      </c>
      <c r="AQ20" s="8">
        <f t="shared" si="6"/>
        <v>0</v>
      </c>
    </row>
    <row r="21" spans="5:43" ht="15.75" x14ac:dyDescent="0.25">
      <c r="E21" s="9">
        <v>1010</v>
      </c>
      <c r="F21" s="12" t="s">
        <v>38</v>
      </c>
      <c r="G21" s="21" t="s">
        <v>28</v>
      </c>
      <c r="H21" s="21" t="s">
        <v>28</v>
      </c>
      <c r="I21" s="21" t="s">
        <v>28</v>
      </c>
      <c r="J21" s="21" t="s">
        <v>26</v>
      </c>
      <c r="K21" s="21" t="s">
        <v>26</v>
      </c>
      <c r="L21" s="21" t="s">
        <v>34</v>
      </c>
      <c r="M21" s="22"/>
      <c r="N21" s="21" t="s">
        <v>26</v>
      </c>
      <c r="O21" s="21" t="s">
        <v>26</v>
      </c>
      <c r="P21" s="21" t="s">
        <v>26</v>
      </c>
      <c r="Q21" s="21" t="s">
        <v>26</v>
      </c>
      <c r="R21" s="21" t="s">
        <v>26</v>
      </c>
      <c r="S21" s="21" t="s">
        <v>34</v>
      </c>
      <c r="T21" s="22"/>
      <c r="U21" s="21" t="s">
        <v>28</v>
      </c>
      <c r="V21" s="21" t="s">
        <v>28</v>
      </c>
      <c r="W21" s="21" t="s">
        <v>28</v>
      </c>
      <c r="X21" s="21" t="s">
        <v>26</v>
      </c>
      <c r="Y21" s="21" t="s">
        <v>26</v>
      </c>
      <c r="Z21" s="21" t="s">
        <v>34</v>
      </c>
      <c r="AA21" s="22"/>
      <c r="AB21" s="21" t="s">
        <v>26</v>
      </c>
      <c r="AC21" s="21" t="s">
        <v>26</v>
      </c>
      <c r="AD21" s="21" t="s">
        <v>26</v>
      </c>
      <c r="AE21" s="21" t="s">
        <v>26</v>
      </c>
      <c r="AF21" s="21" t="s">
        <v>34</v>
      </c>
      <c r="AG21" s="21" t="s">
        <v>34</v>
      </c>
      <c r="AH21" s="22"/>
      <c r="AI21" s="21" t="s">
        <v>27</v>
      </c>
      <c r="AJ21" s="21" t="s">
        <v>26</v>
      </c>
      <c r="AK21" s="21" t="s">
        <v>26</v>
      </c>
      <c r="AL21" s="7">
        <f t="shared" si="1"/>
        <v>31</v>
      </c>
      <c r="AM21" s="7">
        <f t="shared" si="2"/>
        <v>13</v>
      </c>
      <c r="AN21" s="7">
        <f t="shared" si="3"/>
        <v>6</v>
      </c>
      <c r="AO21" s="7">
        <f t="shared" si="4"/>
        <v>1</v>
      </c>
      <c r="AP21" s="8">
        <f t="shared" si="5"/>
        <v>5</v>
      </c>
      <c r="AQ21" s="8">
        <f t="shared" si="6"/>
        <v>3</v>
      </c>
    </row>
    <row r="22" spans="5:43" x14ac:dyDescent="0.25">
      <c r="V22" s="1"/>
    </row>
    <row r="25" spans="5:43" x14ac:dyDescent="0.25">
      <c r="P25" s="3"/>
    </row>
    <row r="26" spans="5:43" ht="15" customHeight="1" x14ac:dyDescent="0.35">
      <c r="J26" s="4"/>
      <c r="K26" s="4"/>
      <c r="L26" s="4"/>
      <c r="M26" s="4"/>
      <c r="N26" s="4"/>
      <c r="O26" s="4"/>
      <c r="P26" s="3"/>
      <c r="Q26" s="4"/>
      <c r="R26" s="4"/>
      <c r="S26" s="4"/>
      <c r="U26" s="4"/>
      <c r="V26" s="4"/>
    </row>
    <row r="27" spans="5:43" ht="15" customHeight="1" x14ac:dyDescent="0.35">
      <c r="J27" s="4"/>
      <c r="K27" s="4"/>
      <c r="L27" s="4"/>
      <c r="M27" s="4"/>
      <c r="N27" s="4"/>
      <c r="O27" s="4"/>
      <c r="P27" s="3"/>
      <c r="Q27" s="4"/>
      <c r="R27" s="4"/>
      <c r="S27" s="4"/>
      <c r="T27" s="4"/>
      <c r="U27" s="4"/>
      <c r="V27" s="4"/>
    </row>
    <row r="28" spans="5:43" x14ac:dyDescent="0.25">
      <c r="P28" s="3"/>
    </row>
    <row r="29" spans="5:43" x14ac:dyDescent="0.25"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5:43" x14ac:dyDescent="0.25"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5:43" x14ac:dyDescent="0.25">
      <c r="J31" s="3"/>
      <c r="K31" s="3"/>
      <c r="M31" s="3"/>
      <c r="N31" s="3"/>
      <c r="O31" s="3"/>
      <c r="P31" s="3"/>
      <c r="R31" s="3"/>
      <c r="S31" s="3"/>
      <c r="T31" s="3"/>
      <c r="U31" s="3"/>
      <c r="V31" s="3"/>
    </row>
    <row r="32" spans="5:43" x14ac:dyDescent="0.25"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0:30" x14ac:dyDescent="0.25"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0:30" x14ac:dyDescent="0.25">
      <c r="AD34" s="2"/>
    </row>
    <row r="35" spans="10:30" x14ac:dyDescent="0.25">
      <c r="AD35" s="2"/>
    </row>
    <row r="36" spans="10:30" x14ac:dyDescent="0.25">
      <c r="AD36" s="2"/>
    </row>
    <row r="37" spans="10:30" x14ac:dyDescent="0.25">
      <c r="AD37" s="2"/>
    </row>
    <row r="38" spans="10:30" x14ac:dyDescent="0.25">
      <c r="AD38" s="2"/>
    </row>
    <row r="39" spans="10:30" x14ac:dyDescent="0.25">
      <c r="AD39" s="2"/>
    </row>
    <row r="40" spans="10:30" x14ac:dyDescent="0.25">
      <c r="AD40" s="2"/>
    </row>
    <row r="41" spans="10:30" x14ac:dyDescent="0.25">
      <c r="AD41" s="2"/>
    </row>
    <row r="42" spans="10:30" x14ac:dyDescent="0.25">
      <c r="AD42" s="2"/>
    </row>
    <row r="43" spans="10:30" x14ac:dyDescent="0.25">
      <c r="AD43" s="2"/>
    </row>
  </sheetData>
  <mergeCells count="21">
    <mergeCell ref="AC8:AE8"/>
    <mergeCell ref="U8:W8"/>
    <mergeCell ref="AF8:AH8"/>
    <mergeCell ref="N8:T8"/>
    <mergeCell ref="M12:M21"/>
    <mergeCell ref="T12:T21"/>
    <mergeCell ref="AA12:AA21"/>
    <mergeCell ref="AH12:AH21"/>
    <mergeCell ref="F2:AN6"/>
    <mergeCell ref="Q7:T7"/>
    <mergeCell ref="AC7:AE7"/>
    <mergeCell ref="U7:W7"/>
    <mergeCell ref="AF7:AH7"/>
    <mergeCell ref="AQ10:AQ11"/>
    <mergeCell ref="E10:E11"/>
    <mergeCell ref="F10:F11"/>
    <mergeCell ref="AO10:AO11"/>
    <mergeCell ref="AN10:AN11"/>
    <mergeCell ref="AM10:AM11"/>
    <mergeCell ref="AL10:AL11"/>
    <mergeCell ref="AP10:AP11"/>
  </mergeCells>
  <phoneticPr fontId="1" type="noConversion"/>
  <conditionalFormatting sqref="G9:G10">
    <cfRule type="expression" dxfId="25" priority="25">
      <formula>G$9="Sun"</formula>
    </cfRule>
    <cfRule type="cellIs" dxfId="24" priority="26" operator="equal">
      <formula>sun</formula>
    </cfRule>
  </conditionalFormatting>
  <conditionalFormatting sqref="G10">
    <cfRule type="expression" dxfId="23" priority="3">
      <formula>G$10="Sun"</formula>
    </cfRule>
  </conditionalFormatting>
  <conditionalFormatting sqref="G11">
    <cfRule type="expression" dxfId="22" priority="4">
      <formula>G$11="Sun"</formula>
    </cfRule>
    <cfRule type="expression" dxfId="21" priority="8">
      <formula>G$9="sun"</formula>
    </cfRule>
  </conditionalFormatting>
  <conditionalFormatting sqref="G10:AK11">
    <cfRule type="cellIs" dxfId="20" priority="1" operator="equal">
      <formula>"Sun"</formula>
    </cfRule>
  </conditionalFormatting>
  <conditionalFormatting sqref="G11:AK12 G13:L21 N13:S21 U13:Z21 AB13:AG21 AI13:AK21">
    <cfRule type="cellIs" dxfId="19" priority="19" operator="equal">
      <formula>"P"</formula>
    </cfRule>
  </conditionalFormatting>
  <conditionalFormatting sqref="G12:AK12 G13:L21 N13:S21 U13:Z21 AB13:AG21 AI13:AK21">
    <cfRule type="cellIs" dxfId="18" priority="9" operator="equal">
      <formula>"O"</formula>
    </cfRule>
    <cfRule type="cellIs" dxfId="17" priority="10" operator="equal">
      <formula>"O"</formula>
    </cfRule>
    <cfRule type="cellIs" dxfId="16" priority="11" operator="equal">
      <formula>"H"</formula>
    </cfRule>
    <cfRule type="cellIs" dxfId="15" priority="12" operator="equal">
      <formula>"H"</formula>
    </cfRule>
    <cfRule type="cellIs" dxfId="14" priority="13" operator="equal">
      <formula>"L"</formula>
    </cfRule>
    <cfRule type="cellIs" dxfId="13" priority="15" operator="equal">
      <formula>"L"</formula>
    </cfRule>
    <cfRule type="cellIs" dxfId="12" priority="18" operator="equal">
      <formula>"A"</formula>
    </cfRule>
  </conditionalFormatting>
  <conditionalFormatting sqref="G12:AK12 G22:AE22 G13:L21 N13:S21 U13:Z21 AB13:AG21 AI13:AK21">
    <cfRule type="cellIs" dxfId="11" priority="16" operator="equal">
      <formula>"O"</formula>
    </cfRule>
  </conditionalFormatting>
  <conditionalFormatting sqref="O16">
    <cfRule type="cellIs" dxfId="10" priority="20" operator="equal">
      <formula>"P"</formula>
    </cfRule>
    <cfRule type="expression" dxfId="9" priority="21">
      <formula>G9="Sun"</formula>
    </cfRule>
  </conditionalFormatting>
  <conditionalFormatting sqref="O28">
    <cfRule type="expression" dxfId="8" priority="6">
      <formula>G$11="Sun"</formula>
    </cfRule>
  </conditionalFormatting>
  <conditionalFormatting sqref="S21">
    <cfRule type="expression" dxfId="7" priority="7">
      <formula>G$11="Sun"</formula>
    </cfRule>
  </conditionalFormatting>
  <conditionalFormatting sqref="S29">
    <cfRule type="cellIs" dxfId="6" priority="2" operator="equal">
      <formula>"Sun"</formula>
    </cfRule>
  </conditionalFormatting>
  <conditionalFormatting sqref="U1">
    <cfRule type="expression" dxfId="5" priority="24">
      <formula>G$9="Sun"</formula>
    </cfRule>
  </conditionalFormatting>
  <conditionalFormatting sqref="X30">
    <cfRule type="cellIs" dxfId="4" priority="14" operator="equal">
      <formula>"L"</formula>
    </cfRule>
  </conditionalFormatting>
  <conditionalFormatting sqref="AF7:AH7">
    <cfRule type="expression" dxfId="3" priority="5">
      <formula>G$10="Sun"</formula>
    </cfRule>
  </conditionalFormatting>
  <conditionalFormatting sqref="AK9">
    <cfRule type="cellIs" dxfId="2" priority="22" operator="equal">
      <formula>"sun"</formula>
    </cfRule>
    <cfRule type="expression" dxfId="1" priority="23">
      <formula>G$9="Sun"</formula>
    </cfRule>
  </conditionalFormatting>
  <conditionalFormatting sqref="AO28">
    <cfRule type="cellIs" dxfId="0" priority="17" operator="equal">
      <formula>"O"</formula>
    </cfRule>
  </conditionalFormatting>
  <dataValidations count="1">
    <dataValidation type="list" allowBlank="1" showInputMessage="1" showErrorMessage="1" sqref="AF7:AH7" xr:uid="{EF0D3BFB-FB9A-48D4-8715-E4A1D6FE95B7}">
      <formula1>"2024,2025"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180C5C-FFC0-43F2-935A-CBC3702288D4}">
          <x14:formula1>
            <xm:f>Sheet3!$A$1:$A$12</xm:f>
          </x14:formula1>
          <xm:sqref>U7:W7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AD46-E7B0-497F-AE3E-A77920A417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40E8-4F0F-49F3-9C50-E7F145D73573}">
  <dimension ref="A1:A12"/>
  <sheetViews>
    <sheetView workbookViewId="0">
      <selection sqref="A1:A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470 G3</dc:creator>
  <cp:lastModifiedBy>HP 470 G3</cp:lastModifiedBy>
  <dcterms:created xsi:type="dcterms:W3CDTF">2025-07-04T10:05:15Z</dcterms:created>
  <dcterms:modified xsi:type="dcterms:W3CDTF">2025-07-04T21:35:45Z</dcterms:modified>
</cp:coreProperties>
</file>